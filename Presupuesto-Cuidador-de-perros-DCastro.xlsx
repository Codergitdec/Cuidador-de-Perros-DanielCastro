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<sst xmlns="http://schemas.openxmlformats.org/spreadsheetml/2006/main" count="38" uniqueCount="38">
  <si>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Presupuesto Sitio WEB Nº 185</t>
  </si>
  <si>
    <t xml:space="preserve">Datos del cliente</t>
  </si>
  <si>
    <t xml:space="preserve">Digital Plus S.R.L</t>
  </si>
  <si>
    <t xml:space="preserve">Nombre:</t>
  </si>
  <si>
    <t xml:space="preserve">Avda Pueyrredón 1110 – Piso 2 E</t>
  </si>
  <si>
    <t xml:space="preserve">Dirección:</t>
  </si>
  <si>
    <t xml:space="preserve">Teléfono:011-12345678</t>
  </si>
  <si>
    <t xml:space="preserve">Teléfono:</t>
  </si>
  <si>
    <t xml:space="preserve">E-mail:  digitalplus@gmail.com</t>
  </si>
  <si>
    <t xml:space="preserve">E-mail:</t>
  </si>
  <si>
    <t xml:space="preserve">Fecha presupuesto</t>
  </si>
  <si>
    <t xml:space="preserve">Validez: </t>
  </si>
  <si>
    <t xml:space="preserve">15 [días]</t>
  </si>
  <si>
    <t xml:space="preserve">OBJETIVO</t>
  </si>
  <si>
    <t xml:space="preserve">Desarrollo a medida de sitio web cuyo propósito es proporcionar un servicio integral de cuidador de perros que incluye paseos, ejercicios , cuidados e higiene en general. También se considera dominio, promoción en buscadores. Diseño de página en dos idiomas.</t>
  </si>
  <si>
    <t xml:space="preserve">DESCRIPCION</t>
  </si>
  <si>
    <t xml:space="preserve">Horas</t>
  </si>
  <si>
    <t xml:space="preserve">PRECIO</t>
  </si>
  <si>
    <t xml:space="preserve">TOTAL</t>
  </si>
  <si>
    <t xml:space="preserve">Idea y creación del Proyecto</t>
  </si>
  <si>
    <t xml:space="preserve">Elaboración del sitio web. Incluye 5 páginas, creación, diseño y maquetación. En español. Total responsive html5, css y framework</t>
  </si>
  <si>
    <t xml:space="preserve">Elaboración del sitio web. Incluye 5 páginas, creación, diseño y maquetación. En inglés. Total responsive html5, css y framework</t>
  </si>
  <si>
    <t xml:space="preserve">Por página adicional al proyecto</t>
  </si>
  <si>
    <t xml:space="preserve">Edición y adaptación de fotografías, gráficos e imágenes proporcionadas por el cliente</t>
  </si>
  <si>
    <t xml:space="preserve">Alojamiento con dominio. Valor anual. 5Gb espacio en disco. 100Gb transferencia. 10 cuentas de correo de 5Gb</t>
  </si>
  <si>
    <t xml:space="preserve">Registro de sitio en hosting local</t>
  </si>
  <si>
    <t xml:space="preserve">Promoción en 10 buscadores en español</t>
  </si>
  <si>
    <t xml:space="preserve">Promoción en 10 buscadores en inglés</t>
  </si>
  <si>
    <t xml:space="preserve">Instalación y configuración de complemento de optimización SEO del contenido</t>
  </si>
  <si>
    <t xml:space="preserve">Instalación de certificado de seguridad SSL bajo protocolo “https”</t>
  </si>
  <si>
    <t xml:space="preserve">Términos y condiciones de pago:</t>
  </si>
  <si>
    <t xml:space="preserve">SUB-TOTAL</t>
  </si>
  <si>
    <t xml:space="preserve">50% al iniciar el proyecto y 50% a su finalización.</t>
  </si>
  <si>
    <t xml:space="preserve">DESCUENTO</t>
  </si>
  <si>
    <t xml:space="preserve">IVA 21%</t>
  </si>
  <si>
    <t xml:space="preserve">TOTAL PRESUPUESTADO</t>
  </si>
  <si>
    <t xml:space="preserve">Firma de la persona que confecciona el presupuesto</t>
  </si>
  <si>
    <t xml:space="preserve">Firma de aceptación del cliente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</si>
</sst>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\$#,##0.00"/>
    <numFmt numFmtId="167" formatCode="DD\-MMM\-YY"/>
    <numFmt numFmtId="168" formatCode="MM/DD/YYYY"/>
    <numFmt numFmtId="169" formatCode="0"/>
    <numFmt numFmtId="170" formatCode="#,##0.00\ [$€-1]"/>
    <numFmt numFmtId="171" formatCode="[$$-2C0A]#,##0;\([$$-2C0A]#,##0\)"/>
    <numFmt numFmtId="172" formatCode="DD\-MM\-YY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FFFFFF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FA6161"/>
      <name val="Calibri"/>
      <family val="0"/>
      <charset val="1"/>
    </font>
    <font>
      <sz val="11"/>
      <color rgb="FF000000"/>
      <name val="Calibri"/>
      <family val="0"/>
    </font>
    <font>
      <sz val="11"/>
      <name val="Cambria"/>
      <family val="0"/>
      <charset val="1"/>
    </font>
    <font>
      <b val="true"/>
      <i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sz val="11"/>
      <color rgb="FF993300"/>
      <name val="Calibri"/>
      <family val="0"/>
      <charset val="1"/>
    </font>
    <font>
      <u val="single"/>
      <sz val="11"/>
      <color rgb="FF0000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A6161"/>
        <bgColor rgb="FFFF6600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/>
      <diagonal/>
    </border>
    <border diagonalUp="false" diagonalDown="false">
      <left style="thin">
        <color rgb="FF999999"/>
      </left>
      <right/>
      <top/>
      <bottom style="thin">
        <color rgb="FF999999"/>
      </bottom>
      <diagonal/>
    </border>
    <border diagonalUp="false" diagonalDown="false">
      <left/>
      <right/>
      <top/>
      <bottom style="thin">
        <color rgb="FF999999"/>
      </bottom>
      <diagonal/>
    </border>
    <border diagonalUp="false" diagonalDown="false">
      <left/>
      <right style="thin">
        <color rgb="FF999999"/>
      </right>
      <top/>
      <bottom style="thin">
        <color rgb="FF999999"/>
      </bottom>
      <diagonal/>
    </border>
    <border diagonalUp="false" diagonalDown="false">
      <left style="medium">
        <color rgb="FFA5A5A5"/>
      </left>
      <right/>
      <top/>
      <bottom/>
      <diagonal/>
    </border>
    <border diagonalUp="false" diagonalDown="false">
      <left/>
      <right style="medium">
        <color rgb="FFA5A5A5"/>
      </right>
      <top/>
      <bottom/>
      <diagonal/>
    </border>
    <border diagonalUp="false" diagonalDown="false">
      <left style="medium">
        <color rgb="FFA5A5A5"/>
      </left>
      <right style="medium">
        <color rgb="FFA5A5A5"/>
      </right>
      <top/>
      <bottom/>
      <diagonal/>
    </border>
    <border diagonalUp="false" diagonalDown="false">
      <left style="medium">
        <color rgb="FFA5A5A5"/>
      </left>
      <right/>
      <top/>
      <bottom style="medium">
        <color rgb="FFA5A5A5"/>
      </bottom>
      <diagonal/>
    </border>
    <border diagonalUp="false" diagonalDown="false">
      <left/>
      <right/>
      <top/>
      <bottom style="medium">
        <color rgb="FFA5A5A5"/>
      </bottom>
      <diagonal/>
    </border>
    <border diagonalUp="false" diagonalDown="false">
      <left/>
      <right style="medium">
        <color rgb="FFA5A5A5"/>
      </right>
      <top/>
      <bottom style="medium">
        <color rgb="FFA5A5A5"/>
      </bottom>
      <diagonal/>
    </border>
    <border diagonalUp="false" diagonalDown="false"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 diagonalUp="false" diagonalDown="false">
      <left/>
      <right/>
      <top style="medium">
        <color rgb="FFA5A5A5"/>
      </top>
      <bottom style="medium">
        <color rgb="FFA5A5A5"/>
      </bottom>
      <diagonal/>
    </border>
    <border diagonalUp="false" diagonalDown="false"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 diagonalUp="false" diagonalDown="false"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 diagonalUp="false" diagonalDown="false">
      <left style="medium">
        <color rgb="FFA5A5A5"/>
      </left>
      <right/>
      <top style="dotted">
        <color rgb="FFBFBFBF"/>
      </top>
      <bottom style="dotted">
        <color rgb="FFBFBFBF"/>
      </bottom>
      <diagonal/>
    </border>
    <border diagonalUp="false" diagonalDown="false">
      <left/>
      <right/>
      <top style="dotted">
        <color rgb="FFBFBFBF"/>
      </top>
      <bottom style="dotted">
        <color rgb="FFBFBFBF"/>
      </bottom>
      <diagonal/>
    </border>
    <border diagonalUp="false" diagonalDown="false">
      <left/>
      <right style="medium">
        <color rgb="FFA5A5A5"/>
      </right>
      <top style="dotted">
        <color rgb="FFBFBFBF"/>
      </top>
      <bottom style="dotted">
        <color rgb="FFBFBFBF"/>
      </bottom>
      <diagonal/>
    </border>
    <border diagonalUp="false" diagonalDown="false">
      <left style="medium">
        <color rgb="FFA5A5A5"/>
      </left>
      <right/>
      <top style="dotted">
        <color rgb="FFBFBFBF"/>
      </top>
      <bottom style="medium">
        <color rgb="FFA5A5A5"/>
      </bottom>
      <diagonal/>
    </border>
    <border diagonalUp="false" diagonalDown="false">
      <left/>
      <right/>
      <top style="dotted">
        <color rgb="FFBFBFBF"/>
      </top>
      <bottom style="medium">
        <color rgb="FFA5A5A5"/>
      </bottom>
      <diagonal/>
    </border>
    <border diagonalUp="false" diagonalDown="false">
      <left/>
      <right style="medium">
        <color rgb="FFA5A5A5"/>
      </right>
      <top style="dotted">
        <color rgb="FFBFBFBF"/>
      </top>
      <bottom style="medium">
        <color rgb="FFA5A5A5"/>
      </bottom>
      <diagonal/>
    </border>
    <border diagonalUp="false" diagonalDown="false">
      <left style="medium">
        <color rgb="FFA5A5A5"/>
      </left>
      <right/>
      <top style="medium">
        <color rgb="FFA5A5A5"/>
      </top>
      <bottom/>
      <diagonal/>
    </border>
    <border diagonalUp="false" diagonalDown="false">
      <left/>
      <right/>
      <top style="medium">
        <color rgb="FFA5A5A5"/>
      </top>
      <bottom/>
      <diagonal/>
    </border>
    <border diagonalUp="false" diagonalDown="false">
      <left/>
      <right style="medium">
        <color rgb="FFA5A5A5"/>
      </right>
      <top style="medium">
        <color rgb="FFA5A5A5"/>
      </top>
      <bottom/>
      <diagonal/>
    </border>
    <border diagonalUp="false" diagonalDown="false">
      <left style="medium">
        <color rgb="FFA5A5A5"/>
      </left>
      <right style="medium">
        <color rgb="FFA5A5A5"/>
      </right>
      <top style="medium">
        <color rgb="FFA5A5A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0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1" fontId="12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5A5A5"/>
      <rgbColor rgb="FF993366"/>
      <rgbColor rgb="FFFFFFCC"/>
      <rgbColor rgb="FFCCFFFF"/>
      <rgbColor rgb="FF660066"/>
      <rgbColor rgb="FFFA616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H41"/>
  <sheetViews>
    <sheetView showFormulas="false" showGridLines="fals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B27" activeCellId="0" sqref="B27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20.29"/>
    <col collapsed="false" customWidth="false" hidden="false" outlineLevel="0" max="4" min="3" style="0" width="11.52"/>
    <col collapsed="false" customWidth="true" hidden="false" outlineLevel="0" max="5" min="5" style="0" width="15.28"/>
    <col collapsed="false" customWidth="false" hidden="false" outlineLevel="0" max="7" min="6" style="0" width="11.52"/>
    <col collapsed="false" customWidth="true" hidden="false" outlineLevel="0" max="8" min="8" style="0" width="18.06"/>
    <col collapsed="false" customWidth="false" hidden="false" outlineLevel="0" max="1025" min="9" style="0" width="11.52"/>
  </cols>
  <sheetData>
    <row r="2" customFormat="false" ht="12.8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2.8" hidden="false" customHeight="false" outlineLevel="0" collapsed="false">
      <c r="B3" s="1"/>
      <c r="C3" s="1"/>
      <c r="D3" s="1"/>
      <c r="E3" s="1"/>
      <c r="F3" s="1"/>
      <c r="G3" s="1"/>
      <c r="H3" s="1"/>
    </row>
    <row r="4" customFormat="false" ht="13.8" hidden="false" customHeight="true" outlineLevel="0" collapsed="false">
      <c r="B4" s="2"/>
      <c r="C4" s="3"/>
      <c r="D4" s="3"/>
      <c r="E4" s="4"/>
      <c r="F4" s="5" t="s">
        <v>1</v>
      </c>
      <c r="G4" s="5"/>
      <c r="H4" s="5"/>
    </row>
    <row r="5" customFormat="false" ht="13.8" hidden="false" customHeight="false" outlineLevel="0" collapsed="false">
      <c r="B5" s="6" t="s">
        <v>2</v>
      </c>
      <c r="C5" s="7"/>
      <c r="D5" s="7"/>
      <c r="E5" s="8"/>
      <c r="F5" s="9" t="s">
        <v>3</v>
      </c>
      <c r="G5" s="10"/>
      <c r="H5" s="10"/>
    </row>
    <row r="6" customFormat="false" ht="13.8" hidden="false" customHeight="false" outlineLevel="0" collapsed="false">
      <c r="B6" s="6" t="s">
        <v>4</v>
      </c>
      <c r="C6" s="11"/>
      <c r="D6" s="12"/>
      <c r="E6" s="8"/>
      <c r="F6" s="9" t="s">
        <v>5</v>
      </c>
      <c r="G6" s="10"/>
      <c r="H6" s="10"/>
    </row>
    <row r="7" customFormat="false" ht="13.8" hidden="false" customHeight="false" outlineLevel="0" collapsed="false">
      <c r="B7" s="13"/>
      <c r="C7" s="13"/>
      <c r="D7" s="13"/>
      <c r="E7" s="8"/>
      <c r="F7" s="9"/>
      <c r="G7" s="14"/>
      <c r="H7" s="10"/>
    </row>
    <row r="8" customFormat="false" ht="13.8" hidden="false" customHeight="false" outlineLevel="0" collapsed="false">
      <c r="B8" s="13" t="s">
        <v>6</v>
      </c>
      <c r="C8" s="13"/>
      <c r="D8" s="13"/>
      <c r="E8" s="8"/>
      <c r="F8" s="9" t="s">
        <v>7</v>
      </c>
      <c r="G8" s="14"/>
      <c r="H8" s="10"/>
    </row>
    <row r="9" customFormat="false" ht="13.8" hidden="false" customHeight="false" outlineLevel="0" collapsed="false">
      <c r="B9" s="15" t="s">
        <v>8</v>
      </c>
      <c r="C9" s="16"/>
      <c r="D9" s="17"/>
      <c r="E9" s="18"/>
      <c r="F9" s="19" t="s">
        <v>9</v>
      </c>
      <c r="G9" s="20"/>
      <c r="H9" s="20"/>
    </row>
    <row r="10" customFormat="false" ht="13.8" hidden="false" customHeight="false" outlineLevel="0" collapsed="false">
      <c r="B10" s="21"/>
      <c r="C10" s="21"/>
      <c r="D10" s="21"/>
      <c r="E10" s="21"/>
      <c r="F10" s="22"/>
      <c r="G10" s="22"/>
      <c r="H10" s="23"/>
    </row>
    <row r="11" customFormat="false" ht="13.8" hidden="false" customHeight="false" outlineLevel="0" collapsed="false">
      <c r="B11" s="24" t="s">
        <v>10</v>
      </c>
      <c r="C11" s="25" t="n">
        <f aca="true">TODAY()</f>
        <v>44662</v>
      </c>
      <c r="D11" s="25"/>
      <c r="E11" s="26"/>
      <c r="F11" s="27" t="s">
        <v>11</v>
      </c>
      <c r="G11" s="27"/>
      <c r="H11" s="28" t="s">
        <v>12</v>
      </c>
    </row>
    <row r="12" customFormat="false" ht="13.8" hidden="false" customHeight="false" outlineLevel="0" collapsed="false">
      <c r="B12" s="21"/>
      <c r="C12" s="21"/>
      <c r="D12" s="21"/>
      <c r="E12" s="21"/>
      <c r="F12" s="22"/>
      <c r="G12" s="22"/>
      <c r="H12" s="23"/>
    </row>
    <row r="13" customFormat="false" ht="13.8" hidden="false" customHeight="false" outlineLevel="0" collapsed="false">
      <c r="B13" s="29" t="s">
        <v>13</v>
      </c>
      <c r="C13" s="29"/>
      <c r="D13" s="29"/>
      <c r="E13" s="29"/>
      <c r="F13" s="30"/>
      <c r="G13" s="30"/>
      <c r="H13" s="31"/>
    </row>
    <row r="14" customFormat="false" ht="42.75" hidden="false" customHeight="true" outlineLevel="0" collapsed="false">
      <c r="B14" s="32" t="s">
        <v>14</v>
      </c>
      <c r="C14" s="32"/>
      <c r="D14" s="32"/>
      <c r="E14" s="32"/>
      <c r="F14" s="32"/>
      <c r="G14" s="32"/>
      <c r="H14" s="32"/>
    </row>
    <row r="15" customFormat="false" ht="13.8" hidden="false" customHeight="false" outlineLevel="0" collapsed="false">
      <c r="B15" s="33"/>
      <c r="C15" s="33"/>
      <c r="D15" s="33"/>
      <c r="E15" s="33"/>
      <c r="F15" s="34"/>
      <c r="G15" s="34"/>
      <c r="H15" s="35"/>
    </row>
    <row r="16" customFormat="false" ht="13.8" hidden="false" customHeight="false" outlineLevel="0" collapsed="false">
      <c r="B16" s="36" t="s">
        <v>15</v>
      </c>
      <c r="C16" s="36"/>
      <c r="D16" s="36"/>
      <c r="E16" s="36"/>
      <c r="F16" s="37" t="s">
        <v>16</v>
      </c>
      <c r="G16" s="37" t="s">
        <v>17</v>
      </c>
      <c r="H16" s="38" t="s">
        <v>18</v>
      </c>
    </row>
    <row r="17" customFormat="false" ht="13.8" hidden="false" customHeight="false" outlineLevel="0" collapsed="false">
      <c r="B17" s="33" t="s">
        <v>19</v>
      </c>
      <c r="C17" s="33"/>
      <c r="D17" s="33"/>
      <c r="E17" s="33"/>
      <c r="F17" s="34" t="n">
        <v>24</v>
      </c>
      <c r="G17" s="34" t="n">
        <v>200</v>
      </c>
      <c r="H17" s="39" t="n">
        <f aca="false">+G17*F17</f>
        <v>4800</v>
      </c>
    </row>
    <row r="18" customFormat="false" ht="23.85" hidden="false" customHeight="true" outlineLevel="0" collapsed="false">
      <c r="B18" s="40" t="s">
        <v>20</v>
      </c>
      <c r="C18" s="40"/>
      <c r="D18" s="40"/>
      <c r="E18" s="40"/>
      <c r="F18" s="34" t="n">
        <v>50</v>
      </c>
      <c r="G18" s="34" t="n">
        <v>100</v>
      </c>
      <c r="H18" s="39" t="n">
        <f aca="false">+G18*F18</f>
        <v>5000</v>
      </c>
    </row>
    <row r="19" customFormat="false" ht="23.85" hidden="false" customHeight="true" outlineLevel="0" collapsed="false">
      <c r="B19" s="41" t="s">
        <v>21</v>
      </c>
      <c r="C19" s="41"/>
      <c r="D19" s="41"/>
      <c r="E19" s="41"/>
      <c r="F19" s="34" t="n">
        <v>30</v>
      </c>
      <c r="G19" s="34" t="n">
        <v>100</v>
      </c>
      <c r="H19" s="39" t="n">
        <f aca="false">+G19*F19</f>
        <v>3000</v>
      </c>
    </row>
    <row r="20" customFormat="false" ht="13.8" hidden="false" customHeight="false" outlineLevel="0" collapsed="false">
      <c r="B20" s="33" t="s">
        <v>22</v>
      </c>
      <c r="C20" s="33"/>
      <c r="D20" s="33"/>
      <c r="E20" s="33"/>
      <c r="F20" s="34" t="n">
        <v>10</v>
      </c>
      <c r="G20" s="34" t="n">
        <v>100</v>
      </c>
      <c r="H20" s="39" t="n">
        <f aca="false">+G20*F20</f>
        <v>1000</v>
      </c>
    </row>
    <row r="21" customFormat="false" ht="24" hidden="false" customHeight="true" outlineLevel="0" collapsed="false">
      <c r="B21" s="42" t="s">
        <v>23</v>
      </c>
      <c r="C21" s="42"/>
      <c r="D21" s="42"/>
      <c r="E21" s="42"/>
      <c r="F21" s="34" t="n">
        <v>50</v>
      </c>
      <c r="G21" s="34" t="n">
        <v>100</v>
      </c>
      <c r="H21" s="39" t="n">
        <f aca="false">+G21*F21</f>
        <v>5000</v>
      </c>
    </row>
    <row r="22" customFormat="false" ht="33" hidden="false" customHeight="true" outlineLevel="0" collapsed="false">
      <c r="B22" s="40" t="s">
        <v>24</v>
      </c>
      <c r="C22" s="40"/>
      <c r="D22" s="40"/>
      <c r="E22" s="40"/>
      <c r="F22" s="34" t="n">
        <v>1</v>
      </c>
      <c r="G22" s="34" t="n">
        <v>2000</v>
      </c>
      <c r="H22" s="39" t="n">
        <f aca="false">+G22*F22</f>
        <v>2000</v>
      </c>
    </row>
    <row r="23" customFormat="false" ht="13.8" hidden="false" customHeight="false" outlineLevel="0" collapsed="false">
      <c r="B23" s="33" t="s">
        <v>25</v>
      </c>
      <c r="C23" s="33"/>
      <c r="D23" s="33"/>
      <c r="E23" s="33"/>
      <c r="F23" s="34" t="n">
        <v>1</v>
      </c>
      <c r="G23" s="34" t="n">
        <v>500</v>
      </c>
      <c r="H23" s="39" t="n">
        <f aca="false">+G23*F23</f>
        <v>500</v>
      </c>
    </row>
    <row r="24" customFormat="false" ht="13.8" hidden="false" customHeight="false" outlineLevel="0" collapsed="false">
      <c r="B24" s="33" t="s">
        <v>26</v>
      </c>
      <c r="C24" s="33"/>
      <c r="D24" s="33"/>
      <c r="E24" s="33"/>
      <c r="F24" s="34" t="n">
        <v>10</v>
      </c>
      <c r="G24" s="34" t="n">
        <v>150</v>
      </c>
      <c r="H24" s="39" t="n">
        <f aca="false">+G24*F24</f>
        <v>1500</v>
      </c>
    </row>
    <row r="25" customFormat="false" ht="13.8" hidden="false" customHeight="false" outlineLevel="0" collapsed="false">
      <c r="B25" s="33" t="s">
        <v>27</v>
      </c>
      <c r="C25" s="33"/>
      <c r="D25" s="33"/>
      <c r="E25" s="33"/>
      <c r="F25" s="34" t="n">
        <v>10</v>
      </c>
      <c r="G25" s="34" t="n">
        <v>100</v>
      </c>
      <c r="H25" s="39" t="n">
        <f aca="false">+G25*F25</f>
        <v>1000</v>
      </c>
    </row>
    <row r="26" customFormat="false" ht="24" hidden="false" customHeight="true" outlineLevel="0" collapsed="false">
      <c r="B26" s="42" t="s">
        <v>28</v>
      </c>
      <c r="C26" s="42"/>
      <c r="D26" s="42"/>
      <c r="E26" s="42"/>
      <c r="F26" s="34" t="n">
        <v>50</v>
      </c>
      <c r="G26" s="34" t="n">
        <v>100</v>
      </c>
      <c r="H26" s="39" t="n">
        <f aca="false">+G26*F26</f>
        <v>5000</v>
      </c>
    </row>
    <row r="27" customFormat="false" ht="13.8" hidden="false" customHeight="false" outlineLevel="0" collapsed="false">
      <c r="B27" s="33" t="s">
        <v>29</v>
      </c>
      <c r="C27" s="43"/>
      <c r="D27" s="43"/>
      <c r="E27" s="43"/>
      <c r="F27" s="34" t="n">
        <v>50</v>
      </c>
      <c r="G27" s="34" t="n">
        <v>100</v>
      </c>
      <c r="H27" s="39" t="n">
        <f aca="false">+G27*F27</f>
        <v>5000</v>
      </c>
    </row>
    <row r="28" customFormat="false" ht="13.8" hidden="false" customHeight="false" outlineLevel="0" collapsed="false">
      <c r="B28" s="44"/>
      <c r="C28" s="44"/>
      <c r="D28" s="44"/>
      <c r="E28" s="44"/>
      <c r="F28" s="45"/>
      <c r="G28" s="45"/>
      <c r="H28" s="46" t="str">
        <f aca="false">IF(AND(F28&lt;&gt;"",G28&lt;&gt;""),F28*G28,"")</f>
        <v/>
      </c>
    </row>
    <row r="29" customFormat="false" ht="13.8" hidden="false" customHeight="false" outlineLevel="0" collapsed="false">
      <c r="B29" s="21"/>
      <c r="C29" s="21"/>
      <c r="D29" s="21"/>
      <c r="E29" s="21"/>
      <c r="F29" s="22"/>
      <c r="G29" s="22"/>
      <c r="H29" s="47" t="str">
        <f aca="false">IF(AND(F29&lt;&gt;"",G29&lt;&gt;""),F29*G29,"")</f>
        <v/>
      </c>
    </row>
    <row r="30" customFormat="false" ht="13.8" hidden="false" customHeight="false" outlineLevel="0" collapsed="false">
      <c r="B30" s="48" t="s">
        <v>30</v>
      </c>
      <c r="C30" s="49"/>
      <c r="D30" s="49"/>
      <c r="E30" s="49"/>
      <c r="F30" s="49"/>
      <c r="G30" s="49" t="s">
        <v>31</v>
      </c>
      <c r="H30" s="50" t="n">
        <f aca="false">SUM(H17:H28)</f>
        <v>33800</v>
      </c>
    </row>
    <row r="31" customFormat="false" ht="13.8" hidden="false" customHeight="false" outlineLevel="0" collapsed="false">
      <c r="B31" s="51" t="s">
        <v>32</v>
      </c>
      <c r="C31" s="52"/>
      <c r="D31" s="52"/>
      <c r="E31" s="52"/>
      <c r="F31" s="52"/>
      <c r="G31" s="52" t="s">
        <v>33</v>
      </c>
      <c r="H31" s="53" t="n">
        <v>0</v>
      </c>
    </row>
    <row r="32" customFormat="false" ht="13.8" hidden="false" customHeight="false" outlineLevel="0" collapsed="false">
      <c r="B32" s="51"/>
      <c r="C32" s="52"/>
      <c r="D32" s="52"/>
      <c r="E32" s="52"/>
      <c r="F32" s="52"/>
      <c r="G32" s="54" t="s">
        <v>34</v>
      </c>
      <c r="H32" s="53" t="n">
        <f aca="false">H30*0.21</f>
        <v>7098</v>
      </c>
    </row>
    <row r="33" customFormat="false" ht="15" hidden="false" customHeight="false" outlineLevel="0" collapsed="false">
      <c r="B33" s="55"/>
      <c r="C33" s="56"/>
      <c r="D33" s="56"/>
      <c r="E33" s="56"/>
      <c r="F33" s="57"/>
      <c r="G33" s="57"/>
      <c r="H33" s="58"/>
    </row>
    <row r="34" customFormat="false" ht="15" hidden="false" customHeight="true" outlineLevel="0" collapsed="false">
      <c r="B34" s="59"/>
      <c r="C34" s="60" t="s">
        <v>35</v>
      </c>
      <c r="D34" s="60"/>
      <c r="E34" s="60"/>
      <c r="F34" s="60"/>
      <c r="G34" s="60"/>
      <c r="H34" s="61" t="n">
        <f aca="false">H30+H32-H33</f>
        <v>40898</v>
      </c>
    </row>
    <row r="35" customFormat="false" ht="13.8" hidden="false" customHeight="false" outlineLevel="0" collapsed="false">
      <c r="B35" s="21"/>
      <c r="C35" s="21"/>
      <c r="D35" s="21"/>
      <c r="E35" s="21"/>
      <c r="F35" s="22"/>
      <c r="G35" s="22"/>
      <c r="H35" s="23"/>
    </row>
    <row r="36" customFormat="false" ht="13.8" hidden="false" customHeight="true" outlineLevel="0" collapsed="false">
      <c r="B36" s="62" t="s">
        <v>36</v>
      </c>
      <c r="C36" s="62"/>
      <c r="D36" s="62"/>
      <c r="E36" s="49"/>
      <c r="F36" s="63" t="s">
        <v>37</v>
      </c>
      <c r="G36" s="63"/>
      <c r="H36" s="63"/>
    </row>
    <row r="37" customFormat="false" ht="13.8" hidden="false" customHeight="false" outlineLevel="0" collapsed="false">
      <c r="B37" s="62"/>
      <c r="C37" s="62"/>
      <c r="D37" s="62"/>
      <c r="E37" s="52"/>
      <c r="F37" s="63"/>
      <c r="G37" s="63"/>
      <c r="H37" s="63"/>
    </row>
    <row r="38" customFormat="false" ht="13.8" hidden="false" customHeight="false" outlineLevel="0" collapsed="false">
      <c r="B38" s="64"/>
      <c r="C38" s="65"/>
      <c r="D38" s="66"/>
      <c r="E38" s="52"/>
      <c r="F38" s="67"/>
      <c r="G38" s="67"/>
      <c r="H38" s="68"/>
    </row>
    <row r="39" customFormat="false" ht="13.8" hidden="false" customHeight="false" outlineLevel="0" collapsed="false">
      <c r="B39" s="69"/>
      <c r="C39" s="70"/>
      <c r="D39" s="71"/>
      <c r="E39" s="52"/>
      <c r="F39" s="67"/>
      <c r="G39" s="67"/>
      <c r="H39" s="68"/>
    </row>
    <row r="40" customFormat="false" ht="13.8" hidden="false" customHeight="false" outlineLevel="0" collapsed="false">
      <c r="B40" s="72"/>
      <c r="C40" s="72"/>
      <c r="D40" s="72"/>
      <c r="E40" s="73"/>
      <c r="F40" s="74"/>
      <c r="G40" s="74"/>
      <c r="H40" s="74"/>
    </row>
    <row r="41" customFormat="false" ht="13.8" hidden="false" customHeight="false" outlineLevel="0" collapsed="false">
      <c r="B41" s="75"/>
      <c r="C41" s="76"/>
      <c r="D41" s="77"/>
      <c r="E41" s="76"/>
      <c r="F41" s="76"/>
      <c r="G41" s="76"/>
      <c r="H41" s="77"/>
    </row>
  </sheetData>
  <mergeCells count="36">
    <mergeCell ref="B2:H3"/>
    <mergeCell ref="C4:D4"/>
    <mergeCell ref="F4:H4"/>
    <mergeCell ref="C5:D5"/>
    <mergeCell ref="G5:H5"/>
    <mergeCell ref="G6:H6"/>
    <mergeCell ref="B7:D7"/>
    <mergeCell ref="B8:D8"/>
    <mergeCell ref="G9:H9"/>
    <mergeCell ref="B10:E10"/>
    <mergeCell ref="C11:D11"/>
    <mergeCell ref="F11:G11"/>
    <mergeCell ref="B12:E12"/>
    <mergeCell ref="B13:E13"/>
    <mergeCell ref="B14:H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8:E28"/>
    <mergeCell ref="B29:E29"/>
    <mergeCell ref="F33:G33"/>
    <mergeCell ref="C34:G34"/>
    <mergeCell ref="B35:E35"/>
    <mergeCell ref="B36:D37"/>
    <mergeCell ref="F36:H37"/>
    <mergeCell ref="B40:D40"/>
    <mergeCell ref="F40:H4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LibreOffice/5.4.2.2$Windows_x86 LibreOffice_project/22b09f6418e8c2d508a9eaf86b2399209b0990f4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2022-04-11T21:41:45Z</dcterms:created>
  <dc:creator/>
  <dc:description/>
  <dc:language>es-AR</dc:language>
  <cp:lastModifiedBy/>
  <dcterms:modified xsi:type="dcterms:W3CDTF">2022-04-11T22:14:35Z</dcterms:modified>
  <cp:revision>3</cp:revision>
  <dc:subject/>
  <dc:title/>
</cp:coreProperties>
</file>